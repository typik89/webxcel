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_REP\webxcel\example\"/>
    </mc:Choice>
  </mc:AlternateContent>
  <xr:revisionPtr revIDLastSave="0" documentId="13_ncr:1_{E2E99B43-3C06-4BA9-8206-48025A2B9AE0}" xr6:coauthVersionLast="34" xr6:coauthVersionMax="34" xr10:uidLastSave="{00000000-0000-0000-0000-000000000000}"/>
  <bookViews>
    <workbookView xWindow="0" yWindow="0" windowWidth="19200" windowHeight="9510" xr2:uid="{6C2FA220-E574-4BED-B23B-C011F04A08E4}"/>
  </bookViews>
  <sheets>
    <sheet name="NEWVWAP" sheetId="3" r:id="rId1"/>
    <sheet name="VWAP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2" i="3"/>
  <c r="G3" i="2"/>
  <c r="F3" i="2"/>
  <c r="E3" i="2"/>
  <c r="G2" i="2"/>
  <c r="F2" i="2"/>
  <c r="E2" i="2"/>
</calcChain>
</file>

<file path=xl/sharedStrings.xml><?xml version="1.0" encoding="utf-8"?>
<sst xmlns="http://schemas.openxmlformats.org/spreadsheetml/2006/main" count="12" uniqueCount="8">
  <si>
    <t>OrderTime</t>
  </si>
  <si>
    <t>BloombergCode</t>
  </si>
  <si>
    <t>VWAP_VOLUME</t>
  </si>
  <si>
    <t>Stock</t>
  </si>
  <si>
    <t>VWAP_AUTOMATED_VOLUME</t>
  </si>
  <si>
    <t>ID</t>
  </si>
  <si>
    <t>TEST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</si>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</sst>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7A977-69FF-49B8-A95D-1FE04948CD4B}" name="Table32" displayName="Table32" ref="A1:C3" totalsRowShown="0">
  <autoFilter ref="A1:C3" xr:uid="{83DCAB69-9445-4A85-8899-3B821E258370}"/>
  <tableColumns count="3">
    <tableColumn id="1" xr3:uid="{DF7D0131-AB53-495C-BDAB-C44AD5E43CA8}" name="ID"/>
    <tableColumn id="3" xr3:uid="{B674AC12-3456-47ED-B94A-B6D40123AE20}" name="BloombergCode"/>
    <tableColumn id="11" xr3:uid="{831B2477-EDCE-4345-B6B4-6A8A93E37DDE}" name="TEST" dataDxfId="0">
      <calculatedColumnFormula>Table32[[#This Row],[BloombergCode]]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D5A43-B789-4C55-842E-F358931C808C}" name="Table3" displayName="Table3" ref="A1:G3" totalsRowShown="0">
  <autoFilter ref="A1:G3" xr:uid="{83DCAB69-9445-4A85-8899-3B821E258370}"/>
  <tableColumns count="7">
    <tableColumn id="1" xr3:uid="{3E1CA5F4-2DAB-4267-885F-2A90DB687E95}" name="ID"/>
    <tableColumn id="3" xr3:uid="{B724BBEA-8B24-4860-9ACF-6E880B89B13B}" name="BloombergCode"/>
    <tableColumn id="4" xr3:uid="{024DF7C3-CE1D-4B2E-B2F0-E78437BC3AD2}" name="Stock"/>
    <tableColumn id="5" xr3:uid="{72640897-AD4F-4B9A-A3D9-470FA6E96888}" name="OrderTime"/>
    <tableColumn id="9" xr3:uid="{63A1C5DB-CF45-43D1-856E-7E5BD52B9CD4}" name="VWAP_AUTOMATED_VOLUME" dataDxfId="3">
      <calculatedColumnFormula>BDP(TEXT(Table3[[#This Row],[BloombergCode]],),"VWAP_AUTOMATED_VOLUME","VWAP_START_TIME="&amp;TEXT(TIME(MID(Table3[[#This Row],[OrderTime]],10,2),MID(Table3[[#This Row],[OrderTime]],13,2),MID(Table3[[#This Row],[OrderTime]],16,2))+1/12,"HH:MM"),"VWAP_START_DT="&amp;TEXT(DATE(LEFT(Table3[[#This Row],[OrderTime]],4),MID(Table3[[#This Row],[OrderTime]],5,2),MID(Table3[[#This Row],[OrderTime]],7,2)),"YYYYMMDD"),"VWAP_END_DT="&amp;TEXT(TODAY(),"YYYYMMDD"))</calculatedColumnFormula>
    </tableColumn>
    <tableColumn id="10" xr3:uid="{CBAE2595-3BCB-403A-BDE7-D041E5534939}" name="VWAP_VOLUME" dataDxfId="2">
      <calculatedColumnFormula>BDP(TEXT(Table3[[#This Row],[BloombergCode]],),"VWAP_VOLUME","VWAP_START_TIME="&amp;TEXT(TIME(MID(Table3[[#This Row],[OrderTime]],10,2),MID(Table3[[#This Row],[OrderTime]],13,2),MID(Table3[[#This Row],[OrderTime]],16,2))+1/12,"HH:MM"),"VWAP_START_DT="&amp;TEXT(DATE(LEFT(Table3[[#This Row],[OrderTime]],4),MID(Table3[[#This Row],[OrderTime]],5,2),MID(Table3[[#This Row],[OrderTime]],7,2)),"YYYYMMDD"),"VWAP_END_DT="&amp;TEXT(TODAY(),"YYYYMMDD"))</calculatedColumnFormula>
    </tableColumn>
    <tableColumn id="11" xr3:uid="{62DB22CC-6AEC-44D2-AC51-AE9953A0D9AB}" name="TEST" dataDxfId="1">
      <calculatedColumnFormula>Table3[[#This Row],[BloombergCode]]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297F-205F-42E8-993E-53E667F209FC}">
  <sheetPr codeName="Sheet2"/>
  <dimension ref="A1:C3"/>
  <sheetViews>
    <sheetView tabSelected="1" workbookViewId="0">
      <selection activeCell="I7" sqref="I7"/>
    </sheetView>
  </sheetViews>
  <sheetFormatPr defaultRowHeight="15" x14ac:dyDescent="0.25"/>
  <cols>
    <col min="1" max="1" width="5.140625" bestFit="1" customWidth="1"/>
    <col min="2" max="2" width="17.7109375" bestFit="1" customWidth="1"/>
    <col min="4" max="4" width="14.7109375" bestFit="1" customWidth="1"/>
  </cols>
  <sheetData>
    <row r="1" spans="1:3" x14ac:dyDescent="0.25">
      <c r="A1" t="s">
        <v>5</v>
      </c>
      <c r="B1" t="s">
        <v>1</v>
      </c>
      <c r="C1" t="s">
        <v>6</v>
      </c>
    </row>
    <row r="2" spans="1:3" x14ac:dyDescent="0.25">
      <c r="A2">
        <v>1</v>
      </c>
      <c r="B2" t="s">
        <v>7</v>
      </c>
      <c r="C2" t="str">
        <f>Table32[[#This Row],[BloombergCode]]</f>
        <v>DD</v>
      </c>
    </row>
    <row r="3" spans="1:3" x14ac:dyDescent="0.25">
      <c r="B3">
        <v>3</v>
      </c>
      <c r="C3" s="1">
        <f>Table32[[#This Row],[BloombergCode]]</f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6CD5-775C-4E9D-9D05-7196B9BEE1E5}">
  <sheetPr codeName="Sheet1"/>
  <dimension ref="A1:G3"/>
  <sheetViews>
    <sheetView workbookViewId="0">
      <selection activeCell="C1" sqref="C1"/>
    </sheetView>
  </sheetViews>
  <sheetFormatPr defaultRowHeight="15" x14ac:dyDescent="0.25"/>
  <cols>
    <col min="1" max="1" width="5.140625" bestFit="1" customWidth="1"/>
    <col min="2" max="2" width="17.7109375" bestFit="1" customWidth="1"/>
    <col min="4" max="4" width="12.85546875" bestFit="1" customWidth="1"/>
    <col min="5" max="5" width="31" bestFit="1" customWidth="1"/>
    <col min="6" max="6" width="17.85546875" customWidth="1"/>
    <col min="7" max="7" width="14.7109375" bestFit="1" customWidth="1"/>
  </cols>
  <sheetData>
    <row r="1" spans="1:7" x14ac:dyDescent="0.25">
      <c r="A1" t="s">
        <v>5</v>
      </c>
      <c r="B1" t="s">
        <v>1</v>
      </c>
      <c r="C1" t="s">
        <v>3</v>
      </c>
      <c r="D1" t="s">
        <v>0</v>
      </c>
      <c r="E1" t="s">
        <v>4</v>
      </c>
      <c r="F1" t="s">
        <v>2</v>
      </c>
      <c r="G1" t="s">
        <v>6</v>
      </c>
    </row>
    <row r="2" spans="1:7" x14ac:dyDescent="0.25">
      <c r="B2" t="s">
        <v>7</v>
      </c>
      <c r="E2" t="e">
        <f ca="1">BDP(TEXT(Table3[[#This Row],[BloombergCode]],),"VWAP_AUTOMATED_VOLUME","VWAP_START_TIME="&amp;TEXT(TIME(MID(Table3[[#This Row],[OrderTime]],10,2),MID(Table3[[#This Row],[OrderTime]],13,2),MID(Table3[[#This Row],[OrderTime]],16,2))+1/12,"HH:MM"),"VWAP_START_DT="&amp;TEXT(DATE(LEFT(Table3[[#This Row],[OrderTime]],4),MID(Table3[[#This Row],[OrderTime]],5,2),MID(Table3[[#This Row],[OrderTime]],7,2)),"YYYYMMDD"),"VWAP_END_DT="&amp;TEXT(TODAY(),"YYYYMMDD"))</f>
        <v>#NAME?</v>
      </c>
      <c r="F2" t="e">
        <f ca="1">BDP(TEXT(Table3[[#This Row],[BloombergCode]],),"VWAP_VOLUME","VWAP_START_TIME="&amp;TEXT(TIME(MID(Table3[[#This Row],[OrderTime]],10,2),MID(Table3[[#This Row],[OrderTime]],13,2),MID(Table3[[#This Row],[OrderTime]],16,2))+1/12,"HH:MM"),"VWAP_START_DT="&amp;TEXT(DATE(LEFT(Table3[[#This Row],[OrderTime]],4),MID(Table3[[#This Row],[OrderTime]],5,2),MID(Table3[[#This Row],[OrderTime]],7,2)),"YYYYMMDD"),"VWAP_END_DT="&amp;TEXT(TODAY(),"YYYYMMDD"))</f>
        <v>#NAME?</v>
      </c>
      <c r="G2" t="str">
        <f>Table3[[#This Row],[BloombergCode]]</f>
        <v>DD</v>
      </c>
    </row>
    <row r="3" spans="1:7" x14ac:dyDescent="0.25">
      <c r="B3">
        <v>3</v>
      </c>
      <c r="E3" s="1" t="e">
        <f ca="1">BDP(TEXT(Table3[[#This Row],[BloombergCode]],),"VWAP_AUTOMATED_VOLUME","VWAP_START_TIME="&amp;TEXT(TIME(MID(Table3[[#This Row],[OrderTime]],10,2),MID(Table3[[#This Row],[OrderTime]],13,2),MID(Table3[[#This Row],[OrderTime]],16,2))+1/12,"HH:MM"),"VWAP_START_DT="&amp;TEXT(DATE(LEFT(Table3[[#This Row],[OrderTime]],4),MID(Table3[[#This Row],[OrderTime]],5,2),MID(Table3[[#This Row],[OrderTime]],7,2)),"YYYYMMDD"),"VWAP_END_DT="&amp;TEXT(TODAY(),"YYYYMMDD"))</f>
        <v>#NAME?</v>
      </c>
      <c r="F3" s="1" t="e">
        <f ca="1">BDP(TEXT(Table3[[#This Row],[BloombergCode]],),"VWAP_VOLUME","VWAP_START_TIME="&amp;TEXT(TIME(MID(Table3[[#This Row],[OrderTime]],10,2),MID(Table3[[#This Row],[OrderTime]],13,2),MID(Table3[[#This Row],[OrderTime]],16,2))+1/12,"HH:MM"),"VWAP_START_DT="&amp;TEXT(DATE(LEFT(Table3[[#This Row],[OrderTime]],4),MID(Table3[[#This Row],[OrderTime]],5,2),MID(Table3[[#This Row],[OrderTime]],7,2)),"YYYYMMDD"),"VWAP_END_DT="&amp;TEXT(TODAY(),"YYYYMMDD"))</f>
        <v>#NAME?</v>
      </c>
      <c r="G3" s="1">
        <f>Table3[[#This Row],[BloombergCode]]</f>
        <v>3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NEWVWAP</vt:lpstr>
      <vt:lpstr>VWAP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Turkin, Andrey</cp:lastModifiedBy>
  <dcterms:created xsi:type="dcterms:W3CDTF">2017-09-28T22:58:55Z</dcterms:created>
  <dcterms:modified xsi:type="dcterms:W3CDTF">2018-07-19T15:52:21Z</dcterms:modified>
</cp:coreProperties>
</file>